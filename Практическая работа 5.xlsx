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Математика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" i="1" l="1"/>
  <c r="AA6" i="1"/>
  <c r="AA5" i="1"/>
  <c r="AA4" i="1"/>
  <c r="AA2" i="1"/>
  <c r="AA1" i="1"/>
  <c r="Z3" i="1"/>
  <c r="Z4" i="1"/>
  <c r="Z5" i="1"/>
  <c r="Z6" i="1"/>
  <c r="Z7" i="1"/>
  <c r="Z8" i="1"/>
  <c r="Z2" i="1"/>
  <c r="X3" i="1"/>
  <c r="X4" i="1"/>
  <c r="X5" i="1"/>
  <c r="X6" i="1"/>
  <c r="X7" i="1"/>
  <c r="X8" i="1"/>
  <c r="X2" i="1"/>
  <c r="T6" i="1"/>
  <c r="T4" i="1"/>
  <c r="I3" i="1"/>
  <c r="I4" i="1"/>
  <c r="I5" i="1"/>
  <c r="I6" i="1"/>
  <c r="I7" i="1"/>
  <c r="I8" i="1"/>
  <c r="I2" i="1"/>
  <c r="H3" i="1"/>
  <c r="H4" i="1"/>
  <c r="H5" i="1"/>
  <c r="H6" i="1"/>
  <c r="H7" i="1"/>
  <c r="H8" i="1"/>
  <c r="H2" i="1"/>
  <c r="G3" i="1"/>
  <c r="G4" i="1"/>
  <c r="G5" i="1"/>
  <c r="G6" i="1"/>
  <c r="G7" i="1"/>
  <c r="G8" i="1"/>
  <c r="G2" i="1"/>
  <c r="F3" i="1"/>
  <c r="F4" i="1"/>
  <c r="F5" i="1"/>
  <c r="F6" i="1"/>
  <c r="F7" i="1"/>
  <c r="F8" i="1"/>
  <c r="F2" i="1"/>
  <c r="AA3" i="1"/>
  <c r="T7" i="1"/>
  <c r="T5" i="1"/>
</calcChain>
</file>

<file path=xl/sharedStrings.xml><?xml version="1.0" encoding="utf-8"?>
<sst xmlns="http://schemas.openxmlformats.org/spreadsheetml/2006/main" count="11" uniqueCount="11">
  <si>
    <t>№ детали</t>
  </si>
  <si>
    <t>Радиус R (мм)</t>
  </si>
  <si>
    <t>Высота h (мм)</t>
  </si>
  <si>
    <t>Масса m (кг)</t>
  </si>
  <si>
    <t>Длина L (мм)</t>
  </si>
  <si>
    <t>Диаметр (мм)</t>
  </si>
  <si>
    <t>Объем цилиндра(мм3)</t>
  </si>
  <si>
    <t>Корень из объема</t>
  </si>
  <si>
    <t>|m-3|</t>
  </si>
  <si>
    <t>Длина дуги</t>
  </si>
  <si>
    <t>Дуга через  РАДИАНЫ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</si>
</sst>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64" fontId="1" fillId="2" borderId="1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0" fillId="0" borderId="0" xfId="0" applyNumberFormat="1"/>
    <xf numFmtId="164" fontId="2" fillId="0" borderId="0" xfId="0" applyNumberFormat="1" applyFont="1"/>
    <xf numFmtId="9" fontId="0" fillId="0" borderId="0" xfId="0" applyNumberFormat="1"/>
    <xf numFmtId="0" fontId="3" fillId="2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8"/>
  <sheetViews>
    <sheetView tabSelected="1" zoomScale="166" zoomScaleNormal="166" workbookViewId="0">
      <selection activeCell="AA8" sqref="AA8"/>
    </sheetView>
  </sheetViews>
  <sheetFormatPr defaultRowHeight="15" x14ac:dyDescent="0.25"/>
  <cols>
    <col min="1" max="1" width="10" bestFit="1" customWidth="1"/>
    <col min="2" max="2" width="13.140625" customWidth="1"/>
    <col min="3" max="3" width="12.7109375" customWidth="1"/>
    <col min="4" max="4" width="11.85546875" customWidth="1"/>
    <col min="5" max="5" width="12.140625" customWidth="1"/>
    <col min="6" max="6" width="14.42578125" bestFit="1" customWidth="1"/>
    <col min="7" max="7" width="21.85546875" customWidth="1"/>
    <col min="8" max="8" width="18.140625" customWidth="1"/>
    <col min="9" max="9" width="9.42578125" customWidth="1"/>
    <col min="10" max="10" width="1.7109375" customWidth="1"/>
    <col min="11" max="12" width="2" customWidth="1"/>
    <col min="13" max="13" width="2.5703125" customWidth="1"/>
    <col min="14" max="14" width="2.28515625" customWidth="1"/>
    <col min="15" max="15" width="1.7109375" customWidth="1"/>
    <col min="16" max="16" width="1.85546875" customWidth="1"/>
    <col min="17" max="17" width="1.42578125" customWidth="1"/>
    <col min="18" max="18" width="1.28515625" customWidth="1"/>
    <col min="19" max="19" width="1" customWidth="1"/>
    <col min="20" max="20" width="8.5703125" customWidth="1"/>
    <col min="21" max="21" width="2" customWidth="1"/>
    <col min="22" max="22" width="2.28515625" customWidth="1"/>
    <col min="23" max="23" width="2.5703125" customWidth="1"/>
    <col min="24" max="24" width="10.42578125" customWidth="1"/>
    <col min="25" max="25" width="4.140625" customWidth="1"/>
    <col min="26" max="26" width="19" customWidth="1"/>
  </cols>
  <sheetData>
    <row r="1" spans="1:2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3" t="s">
        <v>6</v>
      </c>
      <c r="H1" s="3" t="s">
        <v>7</v>
      </c>
      <c r="I1" s="3" t="s">
        <v>8</v>
      </c>
      <c r="K1">
        <v>3</v>
      </c>
      <c r="T1">
        <v>100000</v>
      </c>
      <c r="X1" s="8" t="s">
        <v>9</v>
      </c>
      <c r="Y1">
        <v>60</v>
      </c>
      <c r="Z1" s="8" t="s">
        <v>10</v>
      </c>
      <c r="AA1">
        <f>SUM(D2:D8)</f>
        <v>21.799999999999997</v>
      </c>
    </row>
    <row r="2" spans="1:27" x14ac:dyDescent="0.25">
      <c r="A2" s="1">
        <v>1</v>
      </c>
      <c r="B2" s="1">
        <v>12.5</v>
      </c>
      <c r="C2" s="1">
        <v>30</v>
      </c>
      <c r="D2" s="1">
        <v>2.4</v>
      </c>
      <c r="E2" s="1">
        <v>145</v>
      </c>
      <c r="F2">
        <f>2*B2</f>
        <v>25</v>
      </c>
      <c r="G2" s="5">
        <f>PI()*POWER(B2,2)*C2</f>
        <v>14726.215563702155</v>
      </c>
      <c r="H2" s="6">
        <f>SQRT(G2)</f>
        <v>121.3516195347312</v>
      </c>
      <c r="I2">
        <f>ABS(D2-$K$1)</f>
        <v>0.60000000000000009</v>
      </c>
      <c r="T2" s="7">
        <v>0.12</v>
      </c>
      <c r="X2" s="5">
        <f>PI()*B2*$Y$1/180</f>
        <v>13.089969389957471</v>
      </c>
      <c r="Z2" s="5">
        <f>B2*RADIANS($Y$1)</f>
        <v>13.089969389957471</v>
      </c>
      <c r="AA2">
        <f>SUMIF(D2:D8,"&gt;2")</f>
        <v>18.100000000000001</v>
      </c>
    </row>
    <row r="3" spans="1:27" x14ac:dyDescent="0.25">
      <c r="A3" s="1">
        <v>2</v>
      </c>
      <c r="B3" s="1">
        <v>8.3000000000000007</v>
      </c>
      <c r="C3" s="1">
        <v>25</v>
      </c>
      <c r="D3" s="1">
        <v>1.1000000000000001</v>
      </c>
      <c r="E3" s="1">
        <v>98</v>
      </c>
      <c r="F3">
        <f t="shared" ref="F3:F8" si="0">2*B3</f>
        <v>16.600000000000001</v>
      </c>
      <c r="G3" s="5">
        <f t="shared" ref="G3:G8" si="1">PI()*POWER(B3,2)*C3</f>
        <v>5410.6079476450223</v>
      </c>
      <c r="H3" s="6">
        <f t="shared" ref="H3:H8" si="2">SQRT(G3)</f>
        <v>73.556834812578927</v>
      </c>
      <c r="I3">
        <f t="shared" ref="I3:I8" si="3">ABS(D3-$K$1)</f>
        <v>1.9</v>
      </c>
      <c r="T3">
        <v>5</v>
      </c>
      <c r="X3" s="5">
        <f t="shared" ref="X3:X8" si="4">PI()*B3*$Y$1/180</f>
        <v>8.6917396749317621</v>
      </c>
      <c r="Z3" s="5">
        <f t="shared" ref="Z3:Z8" si="5">B3*RADIANS($Y$1)</f>
        <v>8.6917396749317604</v>
      </c>
      <c r="AA3" t="e">
        <f ca="1">SUMPRODUCT(D2,D8,E2:E8)/_xludf.SUM(E2:E8)</f>
        <v>#VALUE!</v>
      </c>
    </row>
    <row r="4" spans="1:27" x14ac:dyDescent="0.25">
      <c r="A4" s="1">
        <v>3</v>
      </c>
      <c r="B4" s="1">
        <v>15.7</v>
      </c>
      <c r="C4" s="1">
        <v>40</v>
      </c>
      <c r="D4" s="1">
        <v>4</v>
      </c>
      <c r="E4" s="1">
        <v>210</v>
      </c>
      <c r="F4">
        <f t="shared" si="0"/>
        <v>31.4</v>
      </c>
      <c r="G4" s="5">
        <f t="shared" si="1"/>
        <v>30974.846927333921</v>
      </c>
      <c r="H4" s="6">
        <f t="shared" si="2"/>
        <v>175.99672419489494</v>
      </c>
      <c r="I4">
        <f t="shared" si="3"/>
        <v>1</v>
      </c>
      <c r="T4">
        <f>T1*POWER(1+T2,T3)</f>
        <v>176234.16832000006</v>
      </c>
      <c r="X4" s="5">
        <f t="shared" si="4"/>
        <v>16.441001553786581</v>
      </c>
      <c r="Z4" s="5">
        <f t="shared" si="5"/>
        <v>16.441001553786581</v>
      </c>
      <c r="AA4">
        <f>COUNTIF(D2:D8,"&gt;2")</f>
        <v>4</v>
      </c>
    </row>
    <row r="5" spans="1:27" x14ac:dyDescent="0.25">
      <c r="A5" s="1">
        <v>4</v>
      </c>
      <c r="B5" s="1">
        <v>6.2</v>
      </c>
      <c r="C5" s="1">
        <v>18</v>
      </c>
      <c r="D5" s="1">
        <v>0.7</v>
      </c>
      <c r="E5" s="1">
        <v>75</v>
      </c>
      <c r="F5">
        <f t="shared" si="0"/>
        <v>12.4</v>
      </c>
      <c r="G5" s="5">
        <f t="shared" si="1"/>
        <v>2173.7307888718501</v>
      </c>
      <c r="H5" s="6">
        <f t="shared" si="2"/>
        <v>46.623285908136616</v>
      </c>
      <c r="I5">
        <f t="shared" si="3"/>
        <v>2.2999999999999998</v>
      </c>
      <c r="T5" t="e">
        <f ca="1">T1*ЭКСП(T2*T3)</f>
        <v>#NAME?</v>
      </c>
      <c r="X5" s="5">
        <f t="shared" si="4"/>
        <v>6.4926248174189052</v>
      </c>
      <c r="Z5" s="5">
        <f t="shared" si="5"/>
        <v>6.4926248174189052</v>
      </c>
      <c r="AA5">
        <f>AVERAGE(D2:D8)</f>
        <v>3.1142857142857139</v>
      </c>
    </row>
    <row r="6" spans="1:27" x14ac:dyDescent="0.25">
      <c r="A6" s="1">
        <v>5</v>
      </c>
      <c r="B6" s="1">
        <v>20.100000000000001</v>
      </c>
      <c r="C6" s="1">
        <v>55</v>
      </c>
      <c r="D6" s="1">
        <v>6.5</v>
      </c>
      <c r="E6" s="1">
        <v>320</v>
      </c>
      <c r="F6">
        <f t="shared" si="0"/>
        <v>40.200000000000003</v>
      </c>
      <c r="G6" s="5">
        <f t="shared" si="1"/>
        <v>69807.916638724681</v>
      </c>
      <c r="H6" s="6">
        <f t="shared" si="2"/>
        <v>264.21187830740064</v>
      </c>
      <c r="I6">
        <f t="shared" si="3"/>
        <v>3.5</v>
      </c>
      <c r="T6">
        <f>72/(T2*100)</f>
        <v>6</v>
      </c>
      <c r="X6" s="5">
        <f t="shared" si="4"/>
        <v>21.048670779051616</v>
      </c>
      <c r="Z6" s="5">
        <f t="shared" si="5"/>
        <v>21.048670779051612</v>
      </c>
      <c r="AA6">
        <f>MAX(D2:D8)</f>
        <v>6.5</v>
      </c>
    </row>
    <row r="7" spans="1:27" x14ac:dyDescent="0.25">
      <c r="A7" s="1">
        <v>6</v>
      </c>
      <c r="B7" s="1">
        <v>10.4</v>
      </c>
      <c r="C7" s="1">
        <v>28</v>
      </c>
      <c r="D7" s="1">
        <v>1.9</v>
      </c>
      <c r="E7" s="1">
        <v>130</v>
      </c>
      <c r="F7">
        <f t="shared" si="0"/>
        <v>20.8</v>
      </c>
      <c r="G7" s="5">
        <f t="shared" si="1"/>
        <v>9514.250519543617</v>
      </c>
      <c r="H7" s="6">
        <f t="shared" si="2"/>
        <v>97.541019676562826</v>
      </c>
      <c r="I7">
        <f t="shared" si="3"/>
        <v>1.1000000000000001</v>
      </c>
      <c r="T7" t="e">
        <f ca="1">ЛН(2)/ЛН(1+T2)</f>
        <v>#NAME?</v>
      </c>
      <c r="X7" s="5">
        <f t="shared" si="4"/>
        <v>10.890854532444616</v>
      </c>
      <c r="Z7" s="5">
        <f t="shared" si="5"/>
        <v>10.890854532444616</v>
      </c>
      <c r="AA7">
        <f>MIN(D2:D8)</f>
        <v>0.7</v>
      </c>
    </row>
    <row r="8" spans="1:27" x14ac:dyDescent="0.25">
      <c r="A8" s="1">
        <v>7</v>
      </c>
      <c r="B8" s="1">
        <v>18.899999999999999</v>
      </c>
      <c r="C8" s="1">
        <v>48</v>
      </c>
      <c r="D8" s="1">
        <v>5.2</v>
      </c>
      <c r="E8" s="1">
        <v>275</v>
      </c>
      <c r="F8">
        <f t="shared" si="0"/>
        <v>37.799999999999997</v>
      </c>
      <c r="G8" s="5">
        <f t="shared" si="1"/>
        <v>53865.998965862877</v>
      </c>
      <c r="H8" s="6">
        <f t="shared" si="2"/>
        <v>232.09049736226359</v>
      </c>
      <c r="I8">
        <f t="shared" si="3"/>
        <v>2.2000000000000002</v>
      </c>
      <c r="X8" s="5">
        <f t="shared" si="4"/>
        <v>19.792033717615695</v>
      </c>
      <c r="Z8" s="5">
        <f t="shared" si="5"/>
        <v>19.792033717615695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Математика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2026-09-28T09:50:47Z</dcterms:modified>
</cp:coreProperties>
</file>