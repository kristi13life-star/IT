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кристи это тебе\Desktop\"/>
    </mc:Choice>
  </mc:AlternateContent>
  <xr:revisionPtr revIDLastSave="0" documentId="8_{11717287-EEDF-40ED-B6F4-122CE1F9D1FC}" xr6:coauthVersionLast="47" xr6:coauthVersionMax="47" xr10:uidLastSave="{00000000-0000-0000-0000-000000000000}"/>
  <bookViews>
    <workbookView xWindow="0" yWindow="0" windowWidth="11520" windowHeight="12360" activeTab="1" xr2:uid="{40FCD473-E752-49B6-AF4A-5C1137835F6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G3" i="2"/>
  <c r="G4" i="2"/>
  <c r="G5" i="2"/>
  <c r="G2" i="2"/>
  <c r="F3" i="2"/>
  <c r="F4" i="2"/>
  <c r="F5" i="2"/>
  <c r="F2" i="2"/>
  <c r="E3" i="2"/>
  <c r="E4" i="2"/>
  <c r="E5" i="2"/>
  <c r="E2" i="2"/>
  <c r="B11" i="1"/>
  <c r="B10" i="1"/>
  <c r="B9" i="1"/>
  <c r="D7" i="1"/>
  <c r="E7" i="1"/>
  <c r="F7" i="1"/>
  <c r="B7" i="1"/>
  <c r="K2" i="1"/>
  <c r="J2" i="1"/>
  <c r="E3" i="1"/>
  <c r="F3" i="1" s="1"/>
  <c r="E4" i="1"/>
  <c r="F4" i="1" s="1"/>
  <c r="E5" i="1"/>
  <c r="E6" i="1"/>
  <c r="F6" i="1" s="1"/>
  <c r="E2" i="1"/>
  <c r="F2" i="1" s="1"/>
  <c r="F5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<sst xmlns="http://schemas.openxmlformats.org/spreadsheetml/2006/main" count="30" uniqueCount="29">
  <si>
    <t>Содержимое</t>
  </si>
  <si>
    <t>Оклад(руб.)</t>
  </si>
  <si>
    <t>Премия(руб.)</t>
  </si>
  <si>
    <t>НДФЛ(13%)</t>
  </si>
  <si>
    <t>К выдаче</t>
  </si>
  <si>
    <t>Премия (%)</t>
  </si>
  <si>
    <t>Иванов И.И.</t>
  </si>
  <si>
    <t>Петров П.П.</t>
  </si>
  <si>
    <t>Сидоров С.С.</t>
  </si>
  <si>
    <t>Кузнецова К.К.</t>
  </si>
  <si>
    <t>Смирнов С.С.</t>
  </si>
  <si>
    <t>№п./п</t>
  </si>
  <si>
    <t>Ставка НДФЛ</t>
  </si>
  <si>
    <t>Коэффицент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</si>
  <si>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</si>
  <si>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</si>
  <si>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</si>
  <si>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</si>
  <si>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</si>
  <si>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</si>
  <si>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</si>
  <si>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</si>
  <si>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</si>
  <si>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</si>
  <si>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</si>
  <si>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</si>
  <si>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</si>
  <si>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</si>
  <si>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Общая ставка НДС 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</si>
</sst>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3" borderId="0" xfId="0" applyFill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906B-4C53-43DC-83D9-FDE9F282ED28}">
  <dimension ref="A1:K11"/>
  <sheetViews>
    <sheetView zoomScale="90" workbookViewId="0">
      <selection activeCell="B12" sqref="B12"/>
    </sheetView>
  </sheetViews>
  <sheetFormatPr defaultRowHeight="14.4" x14ac:dyDescent="0.3"/>
  <cols>
    <col min="1" max="1" width="19.109375" customWidth="1"/>
    <col min="2" max="2" width="12.33203125" style="3" bestFit="1" customWidth="1"/>
    <col min="3" max="3" width="11.5546875" customWidth="1"/>
    <col min="4" max="4" width="12.88671875" style="3" customWidth="1"/>
    <col min="5" max="5" width="12.109375" style="3" customWidth="1"/>
    <col min="6" max="6" width="12.88671875" style="3" customWidth="1"/>
    <col min="8" max="8" width="15.88671875" customWidth="1"/>
    <col min="9" max="9" width="14.109375" customWidth="1"/>
    <col min="10" max="11" width="11.21875" bestFit="1" customWidth="1"/>
  </cols>
  <sheetData>
    <row r="1" spans="1:11" x14ac:dyDescent="0.3">
      <c r="A1" s="1" t="s">
        <v>0</v>
      </c>
      <c r="B1" s="2" t="s">
        <v>1</v>
      </c>
      <c r="C1" s="1" t="s">
        <v>5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12</v>
      </c>
      <c r="I1" s="2" t="s">
        <v>13</v>
      </c>
    </row>
    <row r="2" spans="1:11" x14ac:dyDescent="0.3">
      <c r="A2" t="s">
        <v>6</v>
      </c>
      <c r="B2" s="3">
        <v>50000</v>
      </c>
      <c r="C2">
        <v>20</v>
      </c>
      <c r="D2" s="3">
        <f>B2*C2/100</f>
        <v>10000</v>
      </c>
      <c r="E2" s="3">
        <f>(B2+D2)*$H$2</f>
        <v>9000</v>
      </c>
      <c r="F2" s="3">
        <f>B2+D2-E2</f>
        <v>51000</v>
      </c>
      <c r="G2">
        <v>1</v>
      </c>
      <c r="H2" s="4">
        <v>0.15</v>
      </c>
      <c r="I2">
        <v>1.5</v>
      </c>
      <c r="J2" s="3">
        <f>B2*$I$2</f>
        <v>75000</v>
      </c>
      <c r="K2" s="3">
        <f>B2*$I$2</f>
        <v>75000</v>
      </c>
    </row>
    <row r="3" spans="1:11" x14ac:dyDescent="0.3">
      <c r="A3" t="s">
        <v>7</v>
      </c>
      <c r="B3" s="3">
        <v>45000</v>
      </c>
      <c r="C3">
        <v>15</v>
      </c>
      <c r="D3" s="3">
        <f t="shared" ref="D3:D6" si="0">B3*C3/100</f>
        <v>6750</v>
      </c>
      <c r="E3" s="3">
        <f t="shared" ref="E3:E6" si="1">(B3+D3)*$H$2</f>
        <v>7762.5</v>
      </c>
      <c r="F3" s="3">
        <f t="shared" ref="F3:F6" si="2">B3+D3-E3</f>
        <v>43987.5</v>
      </c>
      <c r="G3">
        <v>2</v>
      </c>
    </row>
    <row r="4" spans="1:11" x14ac:dyDescent="0.3">
      <c r="A4" t="s">
        <v>8</v>
      </c>
      <c r="B4" s="3">
        <v>62000</v>
      </c>
      <c r="C4">
        <v>25</v>
      </c>
      <c r="D4" s="3">
        <f t="shared" si="0"/>
        <v>15500</v>
      </c>
      <c r="E4" s="3">
        <f t="shared" si="1"/>
        <v>11625</v>
      </c>
      <c r="F4" s="3">
        <f t="shared" si="2"/>
        <v>65875</v>
      </c>
      <c r="G4">
        <v>3</v>
      </c>
    </row>
    <row r="5" spans="1:11" x14ac:dyDescent="0.3">
      <c r="A5" t="s">
        <v>9</v>
      </c>
      <c r="B5" s="3">
        <v>55000</v>
      </c>
      <c r="C5">
        <v>10</v>
      </c>
      <c r="D5" s="3">
        <f t="shared" si="0"/>
        <v>5500</v>
      </c>
      <c r="E5" s="3">
        <f t="shared" si="1"/>
        <v>9075</v>
      </c>
      <c r="F5" s="3">
        <f t="shared" si="2"/>
        <v>51425</v>
      </c>
      <c r="G5">
        <v>4</v>
      </c>
    </row>
    <row r="6" spans="1:11" x14ac:dyDescent="0.3">
      <c r="A6" t="s">
        <v>10</v>
      </c>
      <c r="B6" s="3">
        <v>40000</v>
      </c>
      <c r="C6">
        <v>30</v>
      </c>
      <c r="D6" s="3">
        <f t="shared" si="0"/>
        <v>12000</v>
      </c>
      <c r="E6" s="3">
        <f t="shared" si="1"/>
        <v>7800</v>
      </c>
      <c r="F6" s="3">
        <f t="shared" si="2"/>
        <v>44200</v>
      </c>
      <c r="G6">
        <v>5</v>
      </c>
    </row>
    <row r="7" spans="1:11" x14ac:dyDescent="0.3">
      <c r="A7" t="s">
        <v>14</v>
      </c>
      <c r="B7" s="3">
        <f>SUM(B2:B6)</f>
        <v>252000</v>
      </c>
      <c r="C7" s="3"/>
      <c r="D7" s="3">
        <f t="shared" ref="C7:F7" si="3">SUM(D2:D6)</f>
        <v>49750</v>
      </c>
      <c r="E7" s="3">
        <f t="shared" si="3"/>
        <v>45262.5</v>
      </c>
      <c r="F7" s="3">
        <f t="shared" si="3"/>
        <v>256487.5</v>
      </c>
    </row>
    <row r="9" spans="1:11" x14ac:dyDescent="0.3">
      <c r="A9" t="s">
        <v>15</v>
      </c>
      <c r="B9" s="3">
        <f>AVERAGE(F2:F6)</f>
        <v>51297.5</v>
      </c>
    </row>
    <row r="10" spans="1:11" x14ac:dyDescent="0.3">
      <c r="A10" t="s">
        <v>16</v>
      </c>
      <c r="B10" s="3">
        <f>MAX(F2:F6)</f>
        <v>65875</v>
      </c>
    </row>
    <row r="11" spans="1:11" x14ac:dyDescent="0.3">
      <c r="A11" t="s">
        <v>17</v>
      </c>
      <c r="B11" s="3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DB70-BB3B-499B-A70E-990E44B9C502}">
  <dimension ref="A1:H6"/>
  <sheetViews>
    <sheetView tabSelected="1" topLeftCell="B1" workbookViewId="0">
      <selection activeCell="C7" sqref="C7"/>
    </sheetView>
  </sheetViews>
  <sheetFormatPr defaultRowHeight="14.4" x14ac:dyDescent="0.3"/>
  <cols>
    <col min="1" max="1" width="13.5546875" customWidth="1"/>
    <col min="2" max="2" width="11.6640625" customWidth="1"/>
    <col min="5" max="5" width="10.88671875" customWidth="1"/>
    <col min="6" max="6" width="15.77734375" customWidth="1"/>
    <col min="7" max="7" width="21.77734375" customWidth="1"/>
  </cols>
  <sheetData>
    <row r="1" spans="1:8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28</v>
      </c>
    </row>
    <row r="2" spans="1:8" x14ac:dyDescent="0.3">
      <c r="A2" t="s">
        <v>24</v>
      </c>
      <c r="B2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E2*$H$2</f>
        <v>45000</v>
      </c>
      <c r="H2" s="5">
        <v>0.2</v>
      </c>
    </row>
    <row r="3" spans="1:8" x14ac:dyDescent="0.3">
      <c r="A3" t="s">
        <v>25</v>
      </c>
      <c r="B3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E3*(1-D3/100)</f>
        <v>174600</v>
      </c>
      <c r="G3">
        <f t="shared" ref="G3:G5" si="2">E3*$H$2</f>
        <v>36000</v>
      </c>
    </row>
    <row r="4" spans="1:8" x14ac:dyDescent="0.3">
      <c r="A4" t="s">
        <v>26</v>
      </c>
      <c r="B4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7500</v>
      </c>
    </row>
    <row r="5" spans="1:8" x14ac:dyDescent="0.3">
      <c r="A5" t="s">
        <v>27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4800</v>
      </c>
    </row>
    <row r="6" spans="1:8" x14ac:dyDescent="0.3">
      <c r="B6" t="s">
        <v>14</v>
      </c>
      <c r="C6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 Захарова</dc:creator>
  <cp:lastModifiedBy>Кристина Захарова</cp:lastModifiedBy>
  <dcterms:created xsi:type="dcterms:W3CDTF">2026-09-21T09:27:53Z</dcterms:created>
  <dcterms:modified xsi:type="dcterms:W3CDTF">2026-09-21T09:57:06Z</dcterms:modified>
</cp:coreProperties>
</file>