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кристи это тебе\Desktop\"/>
    </mc:Choice>
  </mc:AlternateContent>
  <xr:revisionPtr revIDLastSave="0" documentId="8_{6A6F801B-43E2-45E7-A0D2-813B17403BBC}" xr6:coauthVersionLast="47" xr6:coauthVersionMax="47" xr10:uidLastSave="{00000000-0000-0000-0000-000000000000}"/>
  <bookViews>
    <workbookView xWindow="0" yWindow="0" windowWidth="12492" windowHeight="12360" activeTab="1" xr2:uid="{EA57B198-3613-437E-868E-301D7D5E32E0}"/>
  </bookViews>
  <sheets>
    <sheet name="Статистика" sheetId="1" r:id="rId1"/>
    <sheet name="Анализ данных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1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2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B29" i="2"/>
  <c r="B28" i="2"/>
  <c r="B27" i="2"/>
  <c r="B25" i="2"/>
  <c r="B24" i="2"/>
  <c r="B23" i="2"/>
  <c r="B22" i="2"/>
  <c r="B21" i="2"/>
  <c r="B20" i="2"/>
  <c r="B19" i="2"/>
  <c r="B18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2" i="2"/>
  <c r="B20" i="1"/>
  <c r="B19" i="1"/>
  <c r="B18" i="1"/>
  <c r="B17" i="1"/>
  <c r="H9" i="1"/>
  <c r="G1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2" i="1"/>
  <c r="F16" i="1"/>
  <c r="H16" i="1" s="1"/>
  <c r="F3" i="1"/>
  <c r="H3" i="1" s="1"/>
  <c r="F4" i="1"/>
  <c r="F5" i="1"/>
  <c r="H5" i="1" s="1"/>
  <c r="F6" i="1"/>
  <c r="H6" i="1" s="1"/>
  <c r="F7" i="1"/>
  <c r="H7" i="1" s="1"/>
  <c r="F8" i="1"/>
  <c r="H8" i="1" s="1"/>
  <c r="F9" i="1"/>
  <c r="F10" i="1"/>
  <c r="H10" i="1" s="1"/>
  <c r="F11" i="1"/>
  <c r="H11" i="1" s="1"/>
  <c r="F12" i="1"/>
  <c r="F13" i="1"/>
  <c r="H13" i="1" s="1"/>
  <c r="F14" i="1"/>
  <c r="H14" i="1" s="1"/>
  <c r="F15" i="1"/>
  <c r="H15" i="1" s="1"/>
  <c r="F2" i="1"/>
  <c r="H2" i="1" s="1"/>
  <c r="I4" i="1" l="1"/>
  <c r="I12" i="1"/>
  <c r="I9" i="1"/>
  <c r="I3" i="1"/>
  <c r="I8" i="1"/>
  <c r="I7" i="1"/>
  <c r="I14" i="1"/>
  <c r="H12" i="1"/>
  <c r="H4" i="1"/>
  <c r="I15" i="1"/>
  <c r="I10" i="1"/>
  <c r="I11" i="1"/>
  <c r="I2" i="1"/>
  <c r="I6" i="1"/>
  <c r="I13" i="1"/>
  <c r="I5" i="1"/>
  <c r="I16" i="1"/>
</calcChain>
</file>

<file path=xl/sharedStrings.xml><?xml version="1.0" encoding="utf-8"?>
<sst xmlns="http://schemas.openxmlformats.org/spreadsheetml/2006/main" count="64" uniqueCount="58">
  <si>
    <t>№</t>
  </si>
  <si>
    <t>ФИО студента</t>
  </si>
  <si>
    <t>Балл 1 (тест)</t>
  </si>
  <si>
    <t>Балл 2 (практика)</t>
  </si>
  <si>
    <t>Балл 3 (проект)</t>
  </si>
  <si>
    <t>Сумма баллов</t>
  </si>
  <si>
    <t>Средний балл</t>
  </si>
  <si>
    <t>Оценка</t>
  </si>
  <si>
    <t>Ранг</t>
  </si>
  <si>
    <t>Иванов И.И</t>
  </si>
  <si>
    <t>Петров П.П.</t>
  </si>
  <si>
    <t>Сидорова С.С.</t>
  </si>
  <si>
    <t>Кузнецов К.К.</t>
  </si>
  <si>
    <t>Смирнова С.С.</t>
  </si>
  <si>
    <t>Волков В.В.</t>
  </si>
  <si>
    <t>Морозова М.М.</t>
  </si>
  <si>
    <t>Новиков Н.Н.</t>
  </si>
  <si>
    <t>Фёдорова Ф.Ф.</t>
  </si>
  <si>
    <t>Павлова П.П.</t>
  </si>
  <si>
    <t>Соколов С.С.</t>
  </si>
  <si>
    <t>Лебедева Л.Л.</t>
  </si>
  <si>
    <t>Козлов К.К.</t>
  </si>
  <si>
    <t>Степанова С.С.</t>
  </si>
  <si>
    <t>Егоров Е.Е.</t>
  </si>
  <si>
    <t>Медиана</t>
  </si>
  <si>
    <t>Мода</t>
  </si>
  <si>
    <t>Минимум</t>
  </si>
  <si>
    <t>Максимум</t>
  </si>
  <si>
    <t xml:space="preserve"> </t>
  </si>
  <si>
    <t>Товар</t>
  </si>
  <si>
    <t>Цена (руб.)</t>
  </si>
  <si>
    <t>Продано (шт.)</t>
  </si>
  <si>
    <t>Выручка</t>
  </si>
  <si>
    <t>Категория</t>
  </si>
  <si>
    <t>Ноутбук</t>
  </si>
  <si>
    <t>Монитор</t>
  </si>
  <si>
    <t>Клавиатура</t>
  </si>
  <si>
    <t>Мышь</t>
  </si>
  <si>
    <t>Принтер</t>
  </si>
  <si>
    <t>Сканер</t>
  </si>
  <si>
    <t>Флешка 32ГБ</t>
  </si>
  <si>
    <t>Внешний HDD</t>
  </si>
  <si>
    <t>Веб-камера</t>
  </si>
  <si>
    <t>Наушники</t>
  </si>
  <si>
    <t>Коврик для мыши</t>
  </si>
  <si>
    <t>USB-хаб</t>
  </si>
  <si>
    <t>Картридж</t>
  </si>
  <si>
    <t>Бумага А4</t>
  </si>
  <si>
    <t>Роутер</t>
  </si>
  <si>
    <t>Сумма</t>
  </si>
  <si>
    <t>Среднее</t>
  </si>
  <si>
    <t>Стандартное отклонение</t>
  </si>
  <si>
    <t>Дисперсия</t>
  </si>
  <si>
    <t>Количество товаров "Топ"</t>
  </si>
  <si>
    <t>Сумма выручки "Топ"</t>
  </si>
  <si>
    <t>Средняя выручка "Средний"</t>
  </si>
  <si>
    <t>Доля в выручке</t>
  </si>
  <si>
    <t>Корреляция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</si>
</sst>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b/>
      <sz val="11"/>
      <color theme="0"/>
      <name val="Aptos Narrow"/>
      <family val="2"/>
      <scheme val="minor"/>
    </font>
    <font>
      <sz val="11"/>
      <color rgb="FF0F1115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/>
    <xf numFmtId="2" fontId="0" fillId="0" borderId="0" xfId="0" applyNumberFormat="1"/>
    <xf numFmtId="1" fontId="0" fillId="0" borderId="0" xfId="0" applyNumberFormat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1" fontId="0" fillId="0" borderId="1" xfId="0" applyNumberFormat="1" applyBorder="1"/>
    <xf numFmtId="0" fontId="0" fillId="0" borderId="1" xfId="0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3" fillId="0" borderId="0" xfId="0" applyFont="1"/>
    <xf numFmtId="0" fontId="1" fillId="2" borderId="1" xfId="0" applyFont="1" applyFill="1" applyBorder="1"/>
    <xf numFmtId="0" fontId="4" fillId="2" borderId="1" xfId="0" applyFont="1" applyFill="1" applyBorder="1"/>
    <xf numFmtId="0" fontId="3" fillId="0" borderId="1" xfId="0" applyFont="1" applyBorder="1"/>
    <xf numFmtId="10" fontId="0" fillId="0" borderId="1" xfId="0" applyNumberFormat="1" applyBorder="1"/>
    <xf numFmtId="0" fontId="4" fillId="2" borderId="0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71B5-F7E9-45FD-AD19-AEB9F14BD780}">
  <dimension ref="A1:J24"/>
  <sheetViews>
    <sheetView zoomScale="90" workbookViewId="0">
      <selection activeCell="G24" sqref="G24"/>
    </sheetView>
  </sheetViews>
  <sheetFormatPr defaultRowHeight="14.4" x14ac:dyDescent="0.3"/>
  <cols>
    <col min="1" max="1" width="10.77734375" customWidth="1"/>
    <col min="2" max="2" width="17.21875" customWidth="1"/>
    <col min="3" max="3" width="13" customWidth="1"/>
    <col min="4" max="4" width="16.109375" customWidth="1"/>
    <col min="5" max="5" width="13.6640625" bestFit="1" customWidth="1"/>
    <col min="6" max="6" width="14.21875" customWidth="1"/>
    <col min="7" max="7" width="13.44140625" customWidth="1"/>
    <col min="12" max="12" width="10.6640625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10" x14ac:dyDescent="0.3">
      <c r="A2" s="4">
        <v>1</v>
      </c>
      <c r="B2" s="7" t="s">
        <v>9</v>
      </c>
      <c r="C2" s="6">
        <v>85</v>
      </c>
      <c r="D2" s="6">
        <v>78</v>
      </c>
      <c r="E2" s="6">
        <v>92</v>
      </c>
      <c r="F2" s="6">
        <f>SUM(C2,D2,E2)</f>
        <v>255</v>
      </c>
      <c r="G2" s="6">
        <f>AVERAGE(C2,D2,E2)</f>
        <v>85</v>
      </c>
      <c r="H2" s="4">
        <f>IF(F2&gt;=250,5,IF(F2&gt;=200,4,3))</f>
        <v>5</v>
      </c>
      <c r="I2" s="4">
        <f>RANK(F2,$F$2:$F$16)</f>
        <v>6</v>
      </c>
    </row>
    <row r="3" spans="1:10" x14ac:dyDescent="0.3">
      <c r="A3" s="4">
        <v>2</v>
      </c>
      <c r="B3" s="7" t="s">
        <v>10</v>
      </c>
      <c r="C3" s="6">
        <v>72</v>
      </c>
      <c r="D3" s="6">
        <v>65</v>
      </c>
      <c r="E3" s="6">
        <v>80</v>
      </c>
      <c r="F3" s="6">
        <f t="shared" ref="F3:F16" si="0">SUM(C3,D3,E3)</f>
        <v>217</v>
      </c>
      <c r="G3" s="6">
        <f t="shared" ref="G3:G15" si="1">AVERAGE(C3,D3,E3)</f>
        <v>72.333333333333329</v>
      </c>
      <c r="H3" s="4">
        <f t="shared" ref="H3:H16" si="2">IF(F3&gt;=250,5,IF(F3&gt;=200,4,3))</f>
        <v>4</v>
      </c>
      <c r="I3" s="4">
        <f t="shared" ref="I3:I16" si="3">RANK(F3,$F$2:$F$16)</f>
        <v>10</v>
      </c>
      <c r="J3" s="3"/>
    </row>
    <row r="4" spans="1:10" x14ac:dyDescent="0.3">
      <c r="A4" s="4">
        <v>3</v>
      </c>
      <c r="B4" s="7" t="s">
        <v>11</v>
      </c>
      <c r="C4" s="6">
        <v>95</v>
      </c>
      <c r="D4" s="6">
        <v>88</v>
      </c>
      <c r="E4" s="6">
        <v>98</v>
      </c>
      <c r="F4" s="6">
        <f t="shared" si="0"/>
        <v>281</v>
      </c>
      <c r="G4" s="6">
        <f t="shared" si="1"/>
        <v>93.666666666666671</v>
      </c>
      <c r="H4" s="4">
        <f t="shared" si="2"/>
        <v>5</v>
      </c>
      <c r="I4" s="4">
        <f t="shared" si="3"/>
        <v>2</v>
      </c>
      <c r="J4" s="3"/>
    </row>
    <row r="5" spans="1:10" x14ac:dyDescent="0.3">
      <c r="A5" s="4">
        <v>4</v>
      </c>
      <c r="B5" s="7" t="s">
        <v>12</v>
      </c>
      <c r="C5" s="6">
        <v>65</v>
      </c>
      <c r="D5" s="6">
        <v>55</v>
      </c>
      <c r="E5" s="6">
        <v>70</v>
      </c>
      <c r="F5" s="6">
        <f t="shared" si="0"/>
        <v>190</v>
      </c>
      <c r="G5" s="6">
        <f t="shared" si="1"/>
        <v>63.333333333333336</v>
      </c>
      <c r="H5" s="4">
        <f t="shared" si="2"/>
        <v>3</v>
      </c>
      <c r="I5" s="4">
        <f t="shared" si="3"/>
        <v>13</v>
      </c>
      <c r="J5" s="3"/>
    </row>
    <row r="6" spans="1:10" x14ac:dyDescent="0.3">
      <c r="A6" s="4">
        <v>5</v>
      </c>
      <c r="B6" s="7" t="s">
        <v>13</v>
      </c>
      <c r="C6" s="6">
        <v>78</v>
      </c>
      <c r="D6" s="6">
        <v>82</v>
      </c>
      <c r="E6" s="6">
        <v>85</v>
      </c>
      <c r="F6" s="6">
        <f t="shared" si="0"/>
        <v>245</v>
      </c>
      <c r="G6" s="6">
        <f t="shared" si="1"/>
        <v>81.666666666666671</v>
      </c>
      <c r="H6" s="4">
        <f t="shared" si="2"/>
        <v>4</v>
      </c>
      <c r="I6" s="4">
        <f t="shared" si="3"/>
        <v>7</v>
      </c>
      <c r="J6" s="3"/>
    </row>
    <row r="7" spans="1:10" x14ac:dyDescent="0.3">
      <c r="A7" s="4">
        <v>6</v>
      </c>
      <c r="B7" s="7" t="s">
        <v>14</v>
      </c>
      <c r="C7" s="6">
        <v>88</v>
      </c>
      <c r="D7" s="6">
        <v>90</v>
      </c>
      <c r="E7" s="6">
        <v>95</v>
      </c>
      <c r="F7" s="6">
        <f t="shared" si="0"/>
        <v>273</v>
      </c>
      <c r="G7" s="6">
        <f t="shared" si="1"/>
        <v>91</v>
      </c>
      <c r="H7" s="4">
        <f t="shared" si="2"/>
        <v>5</v>
      </c>
      <c r="I7" s="4">
        <f t="shared" si="3"/>
        <v>4</v>
      </c>
      <c r="J7" s="3"/>
    </row>
    <row r="8" spans="1:10" x14ac:dyDescent="0.3">
      <c r="A8" s="4">
        <v>7</v>
      </c>
      <c r="B8" s="7" t="s">
        <v>15</v>
      </c>
      <c r="C8" s="6">
        <v>65</v>
      </c>
      <c r="D8" s="6">
        <v>70</v>
      </c>
      <c r="E8" s="6">
        <v>68</v>
      </c>
      <c r="F8" s="6">
        <f t="shared" si="0"/>
        <v>203</v>
      </c>
      <c r="G8" s="6">
        <f t="shared" si="1"/>
        <v>67.666666666666671</v>
      </c>
      <c r="H8" s="4">
        <f t="shared" si="2"/>
        <v>4</v>
      </c>
      <c r="I8" s="4">
        <f t="shared" si="3"/>
        <v>12</v>
      </c>
      <c r="J8" s="3"/>
    </row>
    <row r="9" spans="1:10" x14ac:dyDescent="0.3">
      <c r="A9" s="4">
        <v>8</v>
      </c>
      <c r="B9" s="7" t="s">
        <v>16</v>
      </c>
      <c r="C9" s="6">
        <v>92</v>
      </c>
      <c r="D9" s="6">
        <v>85</v>
      </c>
      <c r="E9" s="6">
        <v>88</v>
      </c>
      <c r="F9" s="6">
        <f t="shared" si="0"/>
        <v>265</v>
      </c>
      <c r="G9" s="6">
        <f t="shared" si="1"/>
        <v>88.333333333333329</v>
      </c>
      <c r="H9" s="4">
        <f t="shared" si="2"/>
        <v>5</v>
      </c>
      <c r="I9" s="4">
        <f t="shared" si="3"/>
        <v>5</v>
      </c>
      <c r="J9" s="3"/>
    </row>
    <row r="10" spans="1:10" x14ac:dyDescent="0.3">
      <c r="A10" s="4">
        <v>9</v>
      </c>
      <c r="B10" s="7" t="s">
        <v>17</v>
      </c>
      <c r="C10" s="6">
        <v>55</v>
      </c>
      <c r="D10" s="6">
        <v>60</v>
      </c>
      <c r="E10" s="6">
        <v>58</v>
      </c>
      <c r="F10" s="6">
        <f t="shared" si="0"/>
        <v>173</v>
      </c>
      <c r="G10" s="6">
        <f t="shared" si="1"/>
        <v>57.666666666666664</v>
      </c>
      <c r="H10" s="4">
        <f t="shared" si="2"/>
        <v>3</v>
      </c>
      <c r="I10" s="4">
        <f t="shared" si="3"/>
        <v>15</v>
      </c>
      <c r="J10" s="3"/>
    </row>
    <row r="11" spans="1:10" x14ac:dyDescent="0.3">
      <c r="A11" s="4">
        <v>10</v>
      </c>
      <c r="B11" s="7" t="s">
        <v>23</v>
      </c>
      <c r="C11" s="6">
        <v>80</v>
      </c>
      <c r="D11" s="6">
        <v>75</v>
      </c>
      <c r="E11" s="6">
        <v>82</v>
      </c>
      <c r="F11" s="6">
        <f t="shared" si="0"/>
        <v>237</v>
      </c>
      <c r="G11" s="6">
        <f t="shared" si="1"/>
        <v>79</v>
      </c>
      <c r="H11" s="4">
        <f t="shared" si="2"/>
        <v>4</v>
      </c>
      <c r="I11" s="4">
        <f t="shared" si="3"/>
        <v>8</v>
      </c>
      <c r="J11" s="3"/>
    </row>
    <row r="12" spans="1:10" x14ac:dyDescent="0.3">
      <c r="A12" s="4">
        <v>11</v>
      </c>
      <c r="B12" s="7" t="s">
        <v>18</v>
      </c>
      <c r="C12" s="6">
        <v>70</v>
      </c>
      <c r="D12" s="6">
        <v>68</v>
      </c>
      <c r="E12" s="6">
        <v>72</v>
      </c>
      <c r="F12" s="6">
        <f t="shared" si="0"/>
        <v>210</v>
      </c>
      <c r="G12" s="6">
        <f t="shared" si="1"/>
        <v>70</v>
      </c>
      <c r="H12" s="4">
        <f t="shared" si="2"/>
        <v>4</v>
      </c>
      <c r="I12" s="4">
        <f t="shared" si="3"/>
        <v>11</v>
      </c>
      <c r="J12" s="3"/>
    </row>
    <row r="13" spans="1:10" x14ac:dyDescent="0.3">
      <c r="A13" s="4">
        <v>12</v>
      </c>
      <c r="B13" s="7" t="s">
        <v>19</v>
      </c>
      <c r="C13" s="6">
        <v>90</v>
      </c>
      <c r="D13" s="6">
        <v>92</v>
      </c>
      <c r="E13" s="6">
        <v>94</v>
      </c>
      <c r="F13" s="6">
        <f t="shared" si="0"/>
        <v>276</v>
      </c>
      <c r="G13" s="6">
        <f t="shared" si="1"/>
        <v>92</v>
      </c>
      <c r="H13" s="4">
        <f t="shared" si="2"/>
        <v>5</v>
      </c>
      <c r="I13" s="4">
        <f t="shared" si="3"/>
        <v>3</v>
      </c>
      <c r="J13" s="3"/>
    </row>
    <row r="14" spans="1:10" x14ac:dyDescent="0.3">
      <c r="A14" s="4">
        <v>13</v>
      </c>
      <c r="B14" s="7" t="s">
        <v>20</v>
      </c>
      <c r="C14" s="6">
        <v>75</v>
      </c>
      <c r="D14" s="6">
        <v>78</v>
      </c>
      <c r="E14" s="6">
        <v>80</v>
      </c>
      <c r="F14" s="6">
        <f t="shared" si="0"/>
        <v>233</v>
      </c>
      <c r="G14" s="6">
        <f t="shared" si="1"/>
        <v>77.666666666666671</v>
      </c>
      <c r="H14" s="4">
        <f t="shared" si="2"/>
        <v>4</v>
      </c>
      <c r="I14" s="4">
        <f t="shared" si="3"/>
        <v>9</v>
      </c>
      <c r="J14" s="3"/>
    </row>
    <row r="15" spans="1:10" x14ac:dyDescent="0.3">
      <c r="A15" s="4">
        <v>14</v>
      </c>
      <c r="B15" s="7" t="s">
        <v>21</v>
      </c>
      <c r="C15" s="6">
        <v>62</v>
      </c>
      <c r="D15" s="6">
        <v>58</v>
      </c>
      <c r="E15" s="6">
        <v>65</v>
      </c>
      <c r="F15" s="6">
        <f t="shared" si="0"/>
        <v>185</v>
      </c>
      <c r="G15" s="6">
        <f t="shared" si="1"/>
        <v>61.666666666666664</v>
      </c>
      <c r="H15" s="4">
        <f t="shared" si="2"/>
        <v>3</v>
      </c>
      <c r="I15" s="4">
        <f t="shared" si="3"/>
        <v>14</v>
      </c>
      <c r="J15" s="3"/>
    </row>
    <row r="16" spans="1:10" x14ac:dyDescent="0.3">
      <c r="A16" s="4">
        <v>15</v>
      </c>
      <c r="B16" s="7" t="s">
        <v>22</v>
      </c>
      <c r="C16" s="6">
        <v>98</v>
      </c>
      <c r="D16" s="6">
        <v>95</v>
      </c>
      <c r="E16" s="6">
        <v>100</v>
      </c>
      <c r="F16" s="6">
        <f t="shared" si="0"/>
        <v>293</v>
      </c>
      <c r="G16" s="6">
        <f>AVERAGE(C16,D16,E16)</f>
        <v>97.666666666666671</v>
      </c>
      <c r="H16" s="4">
        <f t="shared" si="2"/>
        <v>5</v>
      </c>
      <c r="I16" s="4">
        <f t="shared" si="3"/>
        <v>1</v>
      </c>
      <c r="J16" s="3"/>
    </row>
    <row r="17" spans="1:7" x14ac:dyDescent="0.3">
      <c r="A17" s="1" t="s">
        <v>24</v>
      </c>
      <c r="B17" s="3">
        <f>MEDIAN(C2:E16)</f>
        <v>80</v>
      </c>
    </row>
    <row r="18" spans="1:7" x14ac:dyDescent="0.3">
      <c r="A18" s="1" t="s">
        <v>25</v>
      </c>
      <c r="B18">
        <f>MODE(C2:E16)</f>
        <v>65</v>
      </c>
    </row>
    <row r="19" spans="1:7" x14ac:dyDescent="0.3">
      <c r="A19" s="1" t="s">
        <v>26</v>
      </c>
      <c r="B19" s="3">
        <f>MIN(C2:E16)</f>
        <v>55</v>
      </c>
    </row>
    <row r="20" spans="1:7" x14ac:dyDescent="0.3">
      <c r="A20" s="1" t="s">
        <v>27</v>
      </c>
      <c r="B20" s="3">
        <f>MAX(C2:E16)</f>
        <v>100</v>
      </c>
    </row>
    <row r="24" spans="1:7" x14ac:dyDescent="0.3">
      <c r="G24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8198-05E1-4B76-9C10-B2183FECA3B6}">
  <dimension ref="A1:H31"/>
  <sheetViews>
    <sheetView tabSelected="1" zoomScale="68" workbookViewId="0">
      <selection activeCell="B33" sqref="B33"/>
    </sheetView>
  </sheetViews>
  <sheetFormatPr defaultRowHeight="14.4" x14ac:dyDescent="0.3"/>
  <cols>
    <col min="1" max="1" width="25" customWidth="1"/>
    <col min="2" max="2" width="14.77734375" customWidth="1"/>
    <col min="3" max="3" width="10.77734375" customWidth="1"/>
    <col min="4" max="4" width="12.6640625" customWidth="1"/>
    <col min="6" max="6" width="10.21875" customWidth="1"/>
    <col min="7" max="7" width="14.77734375" customWidth="1"/>
  </cols>
  <sheetData>
    <row r="1" spans="1:8" x14ac:dyDescent="0.3">
      <c r="A1" s="5" t="s">
        <v>0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8" t="s">
        <v>56</v>
      </c>
      <c r="H1" s="5" t="s">
        <v>8</v>
      </c>
    </row>
    <row r="2" spans="1:8" x14ac:dyDescent="0.3">
      <c r="A2" s="4">
        <v>1</v>
      </c>
      <c r="B2" s="7" t="s">
        <v>34</v>
      </c>
      <c r="C2" s="4">
        <v>45000</v>
      </c>
      <c r="D2" s="4">
        <v>12</v>
      </c>
      <c r="E2" s="4">
        <f>C2*D2</f>
        <v>540000</v>
      </c>
      <c r="F2" s="12" t="str">
        <f>IF(E2&gt;100000,"Топ",IF(E2&gt;50000,"Средний","Низкий"))</f>
        <v>Топ</v>
      </c>
      <c r="G2" s="13">
        <f>E2/$B$18</f>
        <v>0.28600180075207882</v>
      </c>
      <c r="H2" s="4">
        <f>RANK(E2,$E$2:$E$16)</f>
        <v>1</v>
      </c>
    </row>
    <row r="3" spans="1:8" x14ac:dyDescent="0.3">
      <c r="A3" s="4">
        <v>2</v>
      </c>
      <c r="B3" s="7" t="s">
        <v>35</v>
      </c>
      <c r="C3" s="4">
        <v>18000</v>
      </c>
      <c r="D3" s="4">
        <v>25</v>
      </c>
      <c r="E3" s="4">
        <f t="shared" ref="E3:E16" si="0">C3*D3</f>
        <v>450000</v>
      </c>
      <c r="F3" s="12" t="str">
        <f t="shared" ref="F3:F16" si="1">IF(E3&gt;100000,"Топ",IF(E3&gt;50000,"Средний","Низкий"))</f>
        <v>Топ</v>
      </c>
      <c r="G3" s="13">
        <f t="shared" ref="G3:G16" si="2">E3/$B$18</f>
        <v>0.23833483396006566</v>
      </c>
      <c r="H3" s="4">
        <f t="shared" ref="H3:H16" si="3">RANK(E3,$E$2:$E$16)</f>
        <v>2</v>
      </c>
    </row>
    <row r="4" spans="1:8" x14ac:dyDescent="0.3">
      <c r="A4" s="4">
        <v>3</v>
      </c>
      <c r="B4" s="7" t="s">
        <v>36</v>
      </c>
      <c r="C4" s="4">
        <v>1500</v>
      </c>
      <c r="D4" s="4">
        <v>60</v>
      </c>
      <c r="E4" s="4">
        <f t="shared" si="0"/>
        <v>90000</v>
      </c>
      <c r="F4" s="12" t="str">
        <f t="shared" si="1"/>
        <v>Средний</v>
      </c>
      <c r="G4" s="13">
        <f t="shared" si="2"/>
        <v>4.7666966792013134E-2</v>
      </c>
      <c r="H4" s="4">
        <f t="shared" si="3"/>
        <v>5</v>
      </c>
    </row>
    <row r="5" spans="1:8" x14ac:dyDescent="0.3">
      <c r="A5" s="4">
        <v>4</v>
      </c>
      <c r="B5" s="7" t="s">
        <v>37</v>
      </c>
      <c r="C5" s="4">
        <v>800</v>
      </c>
      <c r="D5" s="4">
        <v>85</v>
      </c>
      <c r="E5" s="4">
        <f t="shared" si="0"/>
        <v>68000</v>
      </c>
      <c r="F5" s="12" t="str">
        <f t="shared" si="1"/>
        <v>Средний</v>
      </c>
      <c r="G5" s="13">
        <f t="shared" si="2"/>
        <v>3.6015041576187699E-2</v>
      </c>
      <c r="H5" s="4">
        <f t="shared" si="3"/>
        <v>9</v>
      </c>
    </row>
    <row r="6" spans="1:8" x14ac:dyDescent="0.3">
      <c r="A6" s="4">
        <v>5</v>
      </c>
      <c r="B6" s="7" t="s">
        <v>38</v>
      </c>
      <c r="C6" s="4">
        <v>12000</v>
      </c>
      <c r="D6" s="4">
        <v>8</v>
      </c>
      <c r="E6" s="4">
        <f t="shared" si="0"/>
        <v>96000</v>
      </c>
      <c r="F6" s="12" t="str">
        <f t="shared" si="1"/>
        <v>Средний</v>
      </c>
      <c r="G6" s="13">
        <f t="shared" si="2"/>
        <v>5.0844764578147343E-2</v>
      </c>
      <c r="H6" s="4">
        <f t="shared" si="3"/>
        <v>4</v>
      </c>
    </row>
    <row r="7" spans="1:8" x14ac:dyDescent="0.3">
      <c r="A7" s="4">
        <v>6</v>
      </c>
      <c r="B7" s="7" t="s">
        <v>39</v>
      </c>
      <c r="C7" s="4">
        <v>9000</v>
      </c>
      <c r="D7" s="4">
        <v>6</v>
      </c>
      <c r="E7" s="4">
        <f t="shared" si="0"/>
        <v>54000</v>
      </c>
      <c r="F7" s="12" t="str">
        <f t="shared" si="1"/>
        <v>Средний</v>
      </c>
      <c r="G7" s="13">
        <f t="shared" si="2"/>
        <v>2.8600180075207881E-2</v>
      </c>
      <c r="H7" s="4">
        <f t="shared" si="3"/>
        <v>12</v>
      </c>
    </row>
    <row r="8" spans="1:8" x14ac:dyDescent="0.3">
      <c r="A8" s="4">
        <v>7</v>
      </c>
      <c r="B8" s="7" t="s">
        <v>40</v>
      </c>
      <c r="C8" s="4">
        <v>600</v>
      </c>
      <c r="D8" s="4">
        <v>120</v>
      </c>
      <c r="E8" s="4">
        <f t="shared" si="0"/>
        <v>72000</v>
      </c>
      <c r="F8" s="12" t="str">
        <f t="shared" si="1"/>
        <v>Средний</v>
      </c>
      <c r="G8" s="13">
        <f t="shared" si="2"/>
        <v>3.8133573433610506E-2</v>
      </c>
      <c r="H8" s="4">
        <f t="shared" si="3"/>
        <v>7</v>
      </c>
    </row>
    <row r="9" spans="1:8" x14ac:dyDescent="0.3">
      <c r="A9" s="4">
        <v>8</v>
      </c>
      <c r="B9" s="7" t="s">
        <v>41</v>
      </c>
      <c r="C9" s="4">
        <v>5500</v>
      </c>
      <c r="D9" s="4">
        <v>15</v>
      </c>
      <c r="E9" s="4">
        <f t="shared" si="0"/>
        <v>82500</v>
      </c>
      <c r="F9" s="12" t="str">
        <f t="shared" si="1"/>
        <v>Средний</v>
      </c>
      <c r="G9" s="13">
        <f t="shared" si="2"/>
        <v>4.3694719559345375E-2</v>
      </c>
      <c r="H9" s="4">
        <f t="shared" si="3"/>
        <v>6</v>
      </c>
    </row>
    <row r="10" spans="1:8" x14ac:dyDescent="0.3">
      <c r="A10" s="4">
        <v>9</v>
      </c>
      <c r="B10" s="7" t="s">
        <v>42</v>
      </c>
      <c r="C10" s="4">
        <v>2800</v>
      </c>
      <c r="D10" s="4">
        <v>22</v>
      </c>
      <c r="E10" s="4">
        <f t="shared" si="0"/>
        <v>61600</v>
      </c>
      <c r="F10" s="12" t="str">
        <f t="shared" si="1"/>
        <v>Средний</v>
      </c>
      <c r="G10" s="13">
        <f t="shared" si="2"/>
        <v>3.2625390604311209E-2</v>
      </c>
      <c r="H10" s="4">
        <f t="shared" si="3"/>
        <v>11</v>
      </c>
    </row>
    <row r="11" spans="1:8" x14ac:dyDescent="0.3">
      <c r="A11" s="4">
        <v>10</v>
      </c>
      <c r="B11" s="7" t="s">
        <v>43</v>
      </c>
      <c r="C11" s="4">
        <v>3200</v>
      </c>
      <c r="D11" s="4">
        <v>35</v>
      </c>
      <c r="E11" s="4">
        <f t="shared" si="0"/>
        <v>112000</v>
      </c>
      <c r="F11" s="12" t="str">
        <f t="shared" si="1"/>
        <v>Топ</v>
      </c>
      <c r="G11" s="13">
        <f t="shared" si="2"/>
        <v>5.9318892007838568E-2</v>
      </c>
      <c r="H11" s="4">
        <f t="shared" si="3"/>
        <v>3</v>
      </c>
    </row>
    <row r="12" spans="1:8" x14ac:dyDescent="0.3">
      <c r="A12" s="4">
        <v>11</v>
      </c>
      <c r="B12" s="7" t="s">
        <v>44</v>
      </c>
      <c r="C12" s="4">
        <v>400</v>
      </c>
      <c r="D12" s="4">
        <v>90</v>
      </c>
      <c r="E12" s="4">
        <f t="shared" si="0"/>
        <v>36000</v>
      </c>
      <c r="F12" s="12" t="str">
        <f t="shared" si="1"/>
        <v>Низкий</v>
      </c>
      <c r="G12" s="13">
        <f t="shared" si="2"/>
        <v>1.9066786716805253E-2</v>
      </c>
      <c r="H12" s="4">
        <f t="shared" si="3"/>
        <v>15</v>
      </c>
    </row>
    <row r="13" spans="1:8" x14ac:dyDescent="0.3">
      <c r="A13" s="4">
        <v>12</v>
      </c>
      <c r="B13" s="7" t="s">
        <v>45</v>
      </c>
      <c r="C13" s="4">
        <v>1200</v>
      </c>
      <c r="D13" s="4">
        <v>40</v>
      </c>
      <c r="E13" s="4">
        <f t="shared" si="0"/>
        <v>48000</v>
      </c>
      <c r="F13" s="12" t="str">
        <f t="shared" si="1"/>
        <v>Низкий</v>
      </c>
      <c r="G13" s="13">
        <f t="shared" si="2"/>
        <v>2.5422382289073672E-2</v>
      </c>
      <c r="H13" s="4">
        <f t="shared" si="3"/>
        <v>13</v>
      </c>
    </row>
    <row r="14" spans="1:8" x14ac:dyDescent="0.3">
      <c r="A14" s="4">
        <v>13</v>
      </c>
      <c r="B14" s="7" t="s">
        <v>46</v>
      </c>
      <c r="C14" s="4">
        <v>2500</v>
      </c>
      <c r="D14" s="4">
        <v>18</v>
      </c>
      <c r="E14" s="4">
        <f t="shared" si="0"/>
        <v>45000</v>
      </c>
      <c r="F14" s="12" t="str">
        <f t="shared" si="1"/>
        <v>Низкий</v>
      </c>
      <c r="G14" s="13">
        <f t="shared" si="2"/>
        <v>2.3833483396006567E-2</v>
      </c>
      <c r="H14" s="4">
        <f t="shared" si="3"/>
        <v>14</v>
      </c>
    </row>
    <row r="15" spans="1:8" x14ac:dyDescent="0.3">
      <c r="A15" s="4">
        <v>14</v>
      </c>
      <c r="B15" s="7" t="s">
        <v>47</v>
      </c>
      <c r="C15" s="4">
        <v>350</v>
      </c>
      <c r="D15" s="4">
        <v>200</v>
      </c>
      <c r="E15" s="4">
        <f t="shared" si="0"/>
        <v>70000</v>
      </c>
      <c r="F15" s="12" t="str">
        <f t="shared" si="1"/>
        <v>Средний</v>
      </c>
      <c r="G15" s="13">
        <f t="shared" si="2"/>
        <v>3.7074307504899102E-2</v>
      </c>
      <c r="H15" s="4">
        <f t="shared" si="3"/>
        <v>8</v>
      </c>
    </row>
    <row r="16" spans="1:8" x14ac:dyDescent="0.3">
      <c r="A16" s="4">
        <v>15</v>
      </c>
      <c r="B16" s="7" t="s">
        <v>48</v>
      </c>
      <c r="C16" s="4">
        <v>4500</v>
      </c>
      <c r="D16" s="4">
        <v>14</v>
      </c>
      <c r="E16" s="4">
        <f t="shared" si="0"/>
        <v>63000</v>
      </c>
      <c r="F16" s="12" t="str">
        <f t="shared" si="1"/>
        <v>Средний</v>
      </c>
      <c r="G16" s="13">
        <f t="shared" si="2"/>
        <v>3.3366876754409192E-2</v>
      </c>
      <c r="H16" s="4">
        <f t="shared" si="3"/>
        <v>10</v>
      </c>
    </row>
    <row r="18" spans="1:2" x14ac:dyDescent="0.3">
      <c r="A18" s="10" t="s">
        <v>49</v>
      </c>
      <c r="B18" s="2">
        <f>SUM(E2:E16)</f>
        <v>1888100</v>
      </c>
    </row>
    <row r="19" spans="1:2" x14ac:dyDescent="0.3">
      <c r="A19" s="10" t="s">
        <v>50</v>
      </c>
      <c r="B19" s="2">
        <f>AVERAGE(E2:E16)</f>
        <v>125873.33333333333</v>
      </c>
    </row>
    <row r="20" spans="1:2" x14ac:dyDescent="0.3">
      <c r="A20" s="10" t="s">
        <v>24</v>
      </c>
      <c r="B20">
        <f>MEDIAN(E2:E16)</f>
        <v>70000</v>
      </c>
    </row>
    <row r="21" spans="1:2" x14ac:dyDescent="0.3">
      <c r="A21" s="10" t="s">
        <v>25</v>
      </c>
      <c r="B21" t="e">
        <f>MODE(E2:E16)</f>
        <v>#N/A</v>
      </c>
    </row>
    <row r="22" spans="1:2" x14ac:dyDescent="0.3">
      <c r="A22" s="10" t="s">
        <v>26</v>
      </c>
      <c r="B22">
        <f>MIN(E2:E16)</f>
        <v>36000</v>
      </c>
    </row>
    <row r="23" spans="1:2" x14ac:dyDescent="0.3">
      <c r="A23" s="10" t="s">
        <v>27</v>
      </c>
      <c r="B23">
        <f>MAX(E2:E16)</f>
        <v>540000</v>
      </c>
    </row>
    <row r="24" spans="1:2" x14ac:dyDescent="0.3">
      <c r="A24" s="10" t="s">
        <v>51</v>
      </c>
      <c r="B24">
        <f>STDEV(E2:E16)</f>
        <v>152155.31757604354</v>
      </c>
    </row>
    <row r="25" spans="1:2" x14ac:dyDescent="0.3">
      <c r="A25" s="10" t="s">
        <v>52</v>
      </c>
      <c r="B25">
        <f>VAR(E2:E16)</f>
        <v>23151240666.666668</v>
      </c>
    </row>
    <row r="27" spans="1:2" x14ac:dyDescent="0.3">
      <c r="A27" s="11" t="s">
        <v>53</v>
      </c>
      <c r="B27" s="9">
        <f>COUNTIF(F2:F16,"Топ")</f>
        <v>3</v>
      </c>
    </row>
    <row r="28" spans="1:2" x14ac:dyDescent="0.3">
      <c r="A28" s="11" t="s">
        <v>54</v>
      </c>
      <c r="B28" s="9">
        <f>SUMIF(F2:F16,"Топ",E2:E16)</f>
        <v>1102000</v>
      </c>
    </row>
    <row r="29" spans="1:2" x14ac:dyDescent="0.3">
      <c r="A29" s="11" t="s">
        <v>55</v>
      </c>
      <c r="B29">
        <f>AVERAGEIF(F2:F16,"Средний",E2:E16)</f>
        <v>73011.111111111109</v>
      </c>
    </row>
    <row r="31" spans="1:2" x14ac:dyDescent="0.3">
      <c r="A31" s="14" t="s">
        <v>57</v>
      </c>
      <c r="B31">
        <f>CORREL(C2:C16,D2:D16)</f>
        <v>-0.39694833806521035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Статистика</vt:lpstr>
      <vt:lpstr>Анализ данных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Кристина Захарова</dc:creator>
  <cp:lastModifiedBy>Кристина Захарова</cp:lastModifiedBy>
  <dcterms:created xsi:type="dcterms:W3CDTF">2026-10-03T08:59:28Z</dcterms:created>
  <dcterms:modified xsi:type="dcterms:W3CDTF">2026-10-03T10:34:02Z</dcterms:modified>
</cp:coreProperties>
</file>